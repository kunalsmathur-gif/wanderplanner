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ost at Scale" sheetId="2" state="visible" r:id="rId2"/>
    <sheet xmlns:r="http://schemas.openxmlformats.org/officeDocument/2006/relationships" name="Methodology &amp;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0"/>
    <numFmt numFmtId="165" formatCode="0.0"/>
    <numFmt numFmtId="166" formatCode="$#,##0.0000"/>
    <numFmt numFmtId="167" formatCode="0.0%"/>
    <numFmt numFmtId="168" formatCode="$#,##0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FCE4E4"/>
        <bgColor rgb="00FCE4E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pivotButton="0" quotePrefix="0" xfId="0"/>
    <xf numFmtId="2" fontId="4" fillId="0" borderId="1" pivotButton="0" quotePrefix="0" xfId="0"/>
    <xf numFmtId="165" fontId="4" fillId="0" borderId="1" pivotButton="0" quotePrefix="0" xfId="0"/>
    <xf numFmtId="166" fontId="4" fillId="0" borderId="1" pivotButton="0" quotePrefix="0" xfId="0"/>
    <xf numFmtId="167" fontId="4" fillId="0" borderId="1" pivotButton="0" quotePrefix="0" xfId="0"/>
    <xf numFmtId="0" fontId="4" fillId="3" borderId="1" pivotButton="0" quotePrefix="0" xfId="0"/>
    <xf numFmtId="164" fontId="4" fillId="3" borderId="1" pivotButton="0" quotePrefix="0" xfId="0"/>
    <xf numFmtId="2" fontId="4" fillId="3" borderId="1" pivotButton="0" quotePrefix="0" xfId="0"/>
    <xf numFmtId="165" fontId="4" fillId="3" borderId="1" pivotButton="0" quotePrefix="0" xfId="0"/>
    <xf numFmtId="166" fontId="4" fillId="3" borderId="1" pivotButton="0" quotePrefix="0" xfId="0"/>
    <xf numFmtId="167" fontId="4" fillId="3" borderId="1" pivotButton="0" quotePrefix="0" xfId="0"/>
    <xf numFmtId="0" fontId="4" fillId="4" borderId="1" pivotButton="0" quotePrefix="0" xfId="0"/>
    <xf numFmtId="164" fontId="4" fillId="4" borderId="1" pivotButton="0" quotePrefix="0" xfId="0"/>
    <xf numFmtId="2" fontId="4" fillId="4" borderId="1" pivotButton="0" quotePrefix="0" xfId="0"/>
    <xf numFmtId="165" fontId="4" fillId="4" borderId="1" pivotButton="0" quotePrefix="0" xfId="0"/>
    <xf numFmtId="166" fontId="4" fillId="4" borderId="1" pivotButton="0" quotePrefix="0" xfId="0"/>
    <xf numFmtId="167" fontId="4" fillId="4" borderId="1" pivotButton="0" quotePrefix="0" xfId="0"/>
    <xf numFmtId="168" fontId="4" fillId="0" borderId="1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14" customWidth="1" min="4" max="4"/>
    <col width="13" customWidth="1" min="5" max="5"/>
    <col width="12" customWidth="1" min="6" max="6"/>
    <col width="15" customWidth="1" min="7" max="7"/>
    <col width="13" customWidth="1" min="8" max="8"/>
    <col width="10" customWidth="1" min="9" max="9"/>
    <col width="11" customWidth="1" min="10" max="10"/>
    <col width="11" customWidth="1" min="11" max="11"/>
    <col width="13" customWidth="1" min="12" max="12"/>
    <col width="10" customWidth="1" min="13" max="13"/>
    <col width="11" customWidth="1" min="14" max="14"/>
    <col width="46" customWidth="1" min="15" max="15"/>
    <col width="90" customWidth="1" min="16" max="16"/>
  </cols>
  <sheetData>
    <row r="1">
      <c r="A1" s="1" t="inlineStr">
        <is>
          <t>WanderPlanner — LLM Model-Selection Eval Results</t>
        </is>
      </c>
    </row>
    <row r="2">
      <c r="A2" s="2" t="inlineStr">
        <is>
          <t>OpenRouter-routed models, real production itinerary prompt, 6 dataset cases, 1 run/case. See 'Methodology &amp; Notes' tab.</t>
        </is>
      </c>
    </row>
    <row r="4" ht="30" customHeight="1">
      <c r="A4" s="3" t="inlineStr">
        <is>
          <t>Model</t>
        </is>
      </c>
      <c r="B4" s="3" t="inlineStr">
        <is>
          <t>Tier</t>
        </is>
      </c>
      <c r="C4" s="3" t="inlineStr">
        <is>
          <t>Accuracy (0-1)</t>
        </is>
      </c>
      <c r="D4" s="3" t="inlineStr">
        <is>
          <t>Hallucination Rate (0-1)</t>
        </is>
      </c>
      <c r="E4" s="3" t="inlineStr">
        <is>
          <t>Judge Quality (0-1)</t>
        </is>
      </c>
      <c r="F4" s="3" t="inlineStr">
        <is>
          <t>Judge Tone (1-5)</t>
        </is>
      </c>
      <c r="G4" s="3" t="inlineStr">
        <is>
          <t>Judge Personalization (1-5)</t>
        </is>
      </c>
      <c r="H4" s="3" t="inlineStr">
        <is>
          <t>Judge Coherence (1-5)</t>
        </is>
      </c>
      <c r="I4" s="3" t="inlineStr">
        <is>
          <t>Judged Calls</t>
        </is>
      </c>
      <c r="J4" s="3" t="inlineStr">
        <is>
          <t>p50 Latency (s)</t>
        </is>
      </c>
      <c r="K4" s="3" t="inlineStr">
        <is>
          <t>p95 Latency (s)</t>
        </is>
      </c>
      <c r="L4" s="3" t="inlineStr">
        <is>
          <t>Cost/Request (USD)</t>
        </is>
      </c>
      <c r="M4" s="3" t="inlineStr">
        <is>
          <t>Error Rate</t>
        </is>
      </c>
      <c r="N4" s="3" t="inlineStr">
        <is>
          <t>Errors / Calls</t>
        </is>
      </c>
      <c r="O4" s="3" t="inlineStr">
        <is>
          <t>Source Run File</t>
        </is>
      </c>
      <c r="P4" s="3" t="inlineStr">
        <is>
          <t>Notes</t>
        </is>
      </c>
    </row>
    <row r="5">
      <c r="A5" s="4" t="inlineStr">
        <is>
          <t>openai/gpt-4o-mini</t>
        </is>
      </c>
      <c r="B5" s="4" t="inlineStr">
        <is>
          <t>Mid</t>
        </is>
      </c>
      <c r="C5" s="5" t="n">
        <v>0.7478</v>
      </c>
      <c r="D5" s="5" t="n">
        <v>0.4971</v>
      </c>
      <c r="E5" s="5" t="n">
        <v>0.6945</v>
      </c>
      <c r="F5" s="6" t="n">
        <v>4.5</v>
      </c>
      <c r="G5" s="6" t="n">
        <v>4</v>
      </c>
      <c r="H5" s="6" t="n">
        <v>2.83</v>
      </c>
      <c r="I5" s="4" t="n">
        <v>6</v>
      </c>
      <c r="J5" s="7" t="n">
        <v>32.4</v>
      </c>
      <c r="K5" s="7" t="n">
        <v>47.6</v>
      </c>
      <c r="L5" s="8" t="n">
        <v>0.002297</v>
      </c>
      <c r="M5" s="9" t="n">
        <v>0</v>
      </c>
      <c r="N5" s="4" t="inlineStr">
        <is>
          <t>0/6</t>
        </is>
      </c>
      <c r="O5" s="4" t="inlineStr">
        <is>
          <t>model_comparison_results_20260820_043357.json</t>
        </is>
      </c>
      <c r="P5" s="4" t="inlineStr"/>
    </row>
    <row r="6">
      <c r="A6" s="4" t="inlineStr">
        <is>
          <t>anthropic/claude-haiku-4.5</t>
        </is>
      </c>
      <c r="B6" s="4" t="inlineStr">
        <is>
          <t>Mid</t>
        </is>
      </c>
      <c r="C6" s="5" t="n">
        <v>0.6902</v>
      </c>
      <c r="D6" s="5" t="n">
        <v>0.5933</v>
      </c>
      <c r="E6" s="5" t="n">
        <v>0.8667</v>
      </c>
      <c r="F6" s="6" t="n">
        <v>4.6</v>
      </c>
      <c r="G6" s="6" t="n">
        <v>5</v>
      </c>
      <c r="H6" s="6" t="n">
        <v>3.8</v>
      </c>
      <c r="I6" s="4" t="n">
        <v>5</v>
      </c>
      <c r="J6" s="7" t="n">
        <v>33.1</v>
      </c>
      <c r="K6" s="7" t="n">
        <v>58.3</v>
      </c>
      <c r="L6" s="8" t="n">
        <v>0.033623</v>
      </c>
      <c r="M6" s="9" t="n">
        <v>0</v>
      </c>
      <c r="N6" s="4" t="inlineStr">
        <is>
          <t>0/6</t>
        </is>
      </c>
      <c r="O6" s="4" t="inlineStr">
        <is>
          <t>model_comparison_results_20260820_043357.json</t>
        </is>
      </c>
      <c r="P6" s="4" t="inlineStr"/>
    </row>
    <row r="7">
      <c r="A7" s="4" t="inlineStr">
        <is>
          <t>moonshotai/kimi-k2</t>
        </is>
      </c>
      <c r="B7" s="4" t="inlineStr">
        <is>
          <t>Mid</t>
        </is>
      </c>
      <c r="C7" s="5" t="n">
        <v>0.6829</v>
      </c>
      <c r="D7" s="5" t="n">
        <v>0.6395999999999999</v>
      </c>
      <c r="E7" s="5" t="n">
        <v>0.9</v>
      </c>
      <c r="F7" s="6" t="n">
        <v>4.8</v>
      </c>
      <c r="G7" s="6" t="n">
        <v>5</v>
      </c>
      <c r="H7" s="6" t="n">
        <v>4</v>
      </c>
      <c r="I7" s="4" t="n">
        <v>5</v>
      </c>
      <c r="J7" s="7" t="n">
        <v>92.40000000000001</v>
      </c>
      <c r="K7" s="7" t="n">
        <v>123.3</v>
      </c>
      <c r="L7" s="8" t="n">
        <v>0.010636</v>
      </c>
      <c r="M7" s="9" t="n">
        <v>0.1667</v>
      </c>
      <c r="N7" s="4" t="inlineStr">
        <is>
          <t>1/6</t>
        </is>
      </c>
      <c r="O7" s="4" t="inlineStr">
        <is>
          <t>model_comparison_results_20260820_044925.json (re-run after structured-outputs fix)</t>
        </is>
      </c>
      <c r="P7" s="4" t="inlineStr"/>
    </row>
    <row r="8">
      <c r="A8" s="4" t="inlineStr">
        <is>
          <t>deepseek/deepseek-v4-flash</t>
        </is>
      </c>
      <c r="B8" s="4" t="inlineStr">
        <is>
          <t>Low-cost</t>
        </is>
      </c>
      <c r="C8" s="5" t="n">
        <v>0.6419</v>
      </c>
      <c r="D8" s="5" t="n">
        <v>0.6637</v>
      </c>
      <c r="E8" s="5" t="n">
        <v>0.8125</v>
      </c>
      <c r="F8" s="6" t="n">
        <v>4.5</v>
      </c>
      <c r="G8" s="6" t="n">
        <v>5</v>
      </c>
      <c r="H8" s="6" t="n">
        <v>3.25</v>
      </c>
      <c r="I8" s="4" t="n">
        <v>4</v>
      </c>
      <c r="J8" s="7" t="n">
        <v>133.8</v>
      </c>
      <c r="K8" s="7" t="n">
        <v>136.2</v>
      </c>
      <c r="L8" s="8" t="n">
        <v>0.00115</v>
      </c>
      <c r="M8" s="9" t="n">
        <v>0.3333</v>
      </c>
      <c r="N8" s="4" t="inlineStr">
        <is>
          <t>2/6</t>
        </is>
      </c>
      <c r="O8" s="4" t="inlineStr">
        <is>
          <t>model_comparison_results_20260820_043357.json</t>
        </is>
      </c>
      <c r="P8" s="4" t="inlineStr"/>
    </row>
    <row r="9">
      <c r="A9" s="4" t="inlineStr">
        <is>
          <t>google/gemini-2.5-flash-lite</t>
        </is>
      </c>
      <c r="B9" s="4" t="inlineStr">
        <is>
          <t>Low-cost</t>
        </is>
      </c>
      <c r="C9" s="5" t="n">
        <v>0.6392</v>
      </c>
      <c r="D9" s="5" t="n">
        <v>0.6366000000000001</v>
      </c>
      <c r="E9" s="5" t="n">
        <v>0.9333</v>
      </c>
      <c r="F9" s="6" t="n">
        <v>4.8</v>
      </c>
      <c r="G9" s="6" t="n">
        <v>4.4</v>
      </c>
      <c r="H9" s="6" t="n">
        <v>5</v>
      </c>
      <c r="I9" s="4" t="n">
        <v>5</v>
      </c>
      <c r="J9" s="7" t="n">
        <v>18.1</v>
      </c>
      <c r="K9" s="7" t="n">
        <v>18.5</v>
      </c>
      <c r="L9" s="8" t="n">
        <v>0.002667</v>
      </c>
      <c r="M9" s="9" t="n">
        <v>0.1667</v>
      </c>
      <c r="N9" s="4" t="inlineStr">
        <is>
          <t>1/6</t>
        </is>
      </c>
      <c r="O9" s="4" t="inlineStr">
        <is>
          <t>model_comparison_results_20260820_043357.json</t>
        </is>
      </c>
      <c r="P9" s="4" t="inlineStr"/>
    </row>
    <row r="10">
      <c r="A10" s="4" t="inlineStr">
        <is>
          <t>openai/gpt-5-mini</t>
        </is>
      </c>
      <c r="B10" s="4" t="inlineStr">
        <is>
          <t>Mid</t>
        </is>
      </c>
      <c r="C10" s="5" t="n">
        <v>0.6383</v>
      </c>
      <c r="D10" s="5" t="n">
        <v>0.5416</v>
      </c>
      <c r="E10" s="5" t="n">
        <v>1</v>
      </c>
      <c r="F10" s="6" t="n">
        <v>5</v>
      </c>
      <c r="G10" s="6" t="n">
        <v>5</v>
      </c>
      <c r="H10" s="6" t="n">
        <v>5</v>
      </c>
      <c r="I10" s="4" t="n">
        <v>2</v>
      </c>
      <c r="J10" s="7" t="n">
        <v>79.2</v>
      </c>
      <c r="K10" s="7" t="n">
        <v>108.2</v>
      </c>
      <c r="L10" s="8" t="n">
        <v>0.015741</v>
      </c>
      <c r="M10" s="9" t="n">
        <v>0.6667</v>
      </c>
      <c r="N10" s="4" t="inlineStr">
        <is>
          <t>4/6</t>
        </is>
      </c>
      <c r="O10" s="4" t="inlineStr">
        <is>
          <t>model_comparison_results_20260820_043357.json</t>
        </is>
      </c>
      <c r="P10" s="4" t="inlineStr"/>
    </row>
    <row r="11">
      <c r="A11" s="4" t="inlineStr">
        <is>
          <t>google/gemini-2.5-flash</t>
        </is>
      </c>
      <c r="B11" s="4" t="inlineStr">
        <is>
          <t>Mid</t>
        </is>
      </c>
      <c r="C11" s="5" t="n">
        <v>0.6281</v>
      </c>
      <c r="D11" s="5" t="n">
        <v>0.6421</v>
      </c>
      <c r="E11" s="5" t="n">
        <v>0.8055</v>
      </c>
      <c r="F11" s="6" t="n">
        <v>4.67</v>
      </c>
      <c r="G11" s="6" t="n">
        <v>4</v>
      </c>
      <c r="H11" s="6" t="n">
        <v>4</v>
      </c>
      <c r="I11" s="4" t="n">
        <v>6</v>
      </c>
      <c r="J11" s="7" t="n">
        <v>24.7</v>
      </c>
      <c r="K11" s="7" t="n">
        <v>33.2</v>
      </c>
      <c r="L11" s="8" t="n">
        <v>0.015193</v>
      </c>
      <c r="M11" s="9" t="n">
        <v>0</v>
      </c>
      <c r="N11" s="4" t="inlineStr">
        <is>
          <t>0/6</t>
        </is>
      </c>
      <c r="O11" s="4" t="inlineStr">
        <is>
          <t>model_comparison_results_20260820_043357.json</t>
        </is>
      </c>
      <c r="P11" s="4" t="inlineStr"/>
    </row>
    <row r="12">
      <c r="A12" s="4" t="inlineStr">
        <is>
          <t>deepseek/deepseek-chat</t>
        </is>
      </c>
      <c r="B12" s="4" t="inlineStr">
        <is>
          <t>Mid</t>
        </is>
      </c>
      <c r="C12" s="5" t="n">
        <v>0.6268</v>
      </c>
      <c r="D12" s="5" t="n">
        <v>0.4477</v>
      </c>
      <c r="E12" s="5" t="n">
        <v>0.6666</v>
      </c>
      <c r="F12" s="6" t="n">
        <v>3.75</v>
      </c>
      <c r="G12" s="6" t="n">
        <v>4.25</v>
      </c>
      <c r="H12" s="6" t="n">
        <v>3</v>
      </c>
      <c r="I12" s="4" t="n">
        <v>4</v>
      </c>
      <c r="J12" s="7" t="n">
        <v>68.8</v>
      </c>
      <c r="K12" s="7" t="n">
        <v>102.8</v>
      </c>
      <c r="L12" s="8" t="n">
        <v>0.003971</v>
      </c>
      <c r="M12" s="9" t="n">
        <v>0</v>
      </c>
      <c r="N12" s="4" t="inlineStr">
        <is>
          <t>0/6</t>
        </is>
      </c>
      <c r="O12" s="4" t="inlineStr">
        <is>
          <t>model_comparison_results_20260820_043357.json</t>
        </is>
      </c>
      <c r="P12" s="4" t="inlineStr"/>
    </row>
    <row r="13">
      <c r="A13" s="4" t="inlineStr">
        <is>
          <t>google/gemini-3.5-flash-lite</t>
        </is>
      </c>
      <c r="B13" s="4" t="inlineStr">
        <is>
          <t>Mid</t>
        </is>
      </c>
      <c r="C13" s="5" t="n">
        <v>0.6264</v>
      </c>
      <c r="D13" s="5" t="n">
        <v>0.6647</v>
      </c>
      <c r="E13" s="5" t="n">
        <v>0.8333</v>
      </c>
      <c r="F13" s="6" t="n">
        <v>4.6</v>
      </c>
      <c r="G13" s="6" t="n">
        <v>4.8</v>
      </c>
      <c r="H13" s="6" t="n">
        <v>3.6</v>
      </c>
      <c r="I13" s="4" t="n">
        <v>5</v>
      </c>
      <c r="J13" s="7" t="n">
        <v>11.3</v>
      </c>
      <c r="K13" s="7" t="n">
        <v>14.2</v>
      </c>
      <c r="L13" s="8" t="n">
        <v>0.010606</v>
      </c>
      <c r="M13" s="9" t="n">
        <v>0</v>
      </c>
      <c r="N13" s="4" t="inlineStr">
        <is>
          <t>0/6</t>
        </is>
      </c>
      <c r="O13" s="4" t="inlineStr">
        <is>
          <t>model_comparison_results_20260820_043357.json</t>
        </is>
      </c>
      <c r="P13" s="4" t="inlineStr"/>
    </row>
    <row r="14">
      <c r="A14" s="4" t="inlineStr">
        <is>
          <t>meta-llama/llama-3.3-70b-instruct</t>
        </is>
      </c>
      <c r="B14" s="4" t="inlineStr">
        <is>
          <t>Mid</t>
        </is>
      </c>
      <c r="C14" s="5" t="n">
        <v>0.5682</v>
      </c>
      <c r="D14" s="5" t="n">
        <v>0.5755</v>
      </c>
      <c r="E14" s="5" t="n">
        <v>0.3333</v>
      </c>
      <c r="F14" s="6" t="n">
        <v>1.75</v>
      </c>
      <c r="G14" s="6" t="n">
        <v>3.5</v>
      </c>
      <c r="H14" s="6" t="n">
        <v>1.75</v>
      </c>
      <c r="I14" s="4" t="n">
        <v>4</v>
      </c>
      <c r="J14" s="7" t="n">
        <v>74.09999999999999</v>
      </c>
      <c r="K14" s="7" t="n">
        <v>294.1</v>
      </c>
      <c r="L14" s="8" t="n">
        <v>0.00112</v>
      </c>
      <c r="M14" s="9" t="n">
        <v>0</v>
      </c>
      <c r="N14" s="4" t="inlineStr">
        <is>
          <t>0/6</t>
        </is>
      </c>
      <c r="O14" s="4" t="inlineStr">
        <is>
          <t>model_comparison_results_20260820_043357.json</t>
        </is>
      </c>
      <c r="P14" s="4" t="inlineStr"/>
    </row>
    <row r="15">
      <c r="A15" s="4" t="inlineStr">
        <is>
          <t>meta-llama/llama-3.1-8b-instruct</t>
        </is>
      </c>
      <c r="B15" s="4" t="inlineStr">
        <is>
          <t>Low-cost</t>
        </is>
      </c>
      <c r="C15" s="5" t="n">
        <v>0.5434</v>
      </c>
      <c r="D15" s="5" t="n">
        <v>0.4468</v>
      </c>
      <c r="E15" s="5" t="n">
        <v>0.4</v>
      </c>
      <c r="F15" s="6" t="n">
        <v>2.4</v>
      </c>
      <c r="G15" s="6" t="n">
        <v>2.8</v>
      </c>
      <c r="H15" s="6" t="n">
        <v>2.6</v>
      </c>
      <c r="I15" s="4" t="n">
        <v>5</v>
      </c>
      <c r="J15" s="7" t="n">
        <v>17.9</v>
      </c>
      <c r="K15" s="7" t="n">
        <v>79.5</v>
      </c>
      <c r="L15" s="8" t="n">
        <v>0.000347</v>
      </c>
      <c r="M15" s="9" t="n">
        <v>0</v>
      </c>
      <c r="N15" s="4" t="inlineStr">
        <is>
          <t>0/6</t>
        </is>
      </c>
      <c r="O15" s="4" t="inlineStr">
        <is>
          <t>model_comparison_results_20260820_043357.json</t>
        </is>
      </c>
      <c r="P15" s="4" t="inlineStr"/>
    </row>
    <row r="16">
      <c r="A16" s="10" t="inlineStr">
        <is>
          <t>openai/gpt-5.6-terra</t>
        </is>
      </c>
      <c r="B16" s="10" t="inlineStr">
        <is>
          <t>Frontier</t>
        </is>
      </c>
      <c r="C16" s="11" t="n">
        <v>0.669</v>
      </c>
      <c r="D16" s="11" t="n">
        <v>0.758</v>
      </c>
      <c r="E16" s="11" t="n">
        <v>1</v>
      </c>
      <c r="F16" s="12" t="n">
        <v>5</v>
      </c>
      <c r="G16" s="12" t="n">
        <v>5</v>
      </c>
      <c r="H16" s="12" t="n">
        <v>5</v>
      </c>
      <c r="I16" s="10" t="n">
        <v>3</v>
      </c>
      <c r="J16" s="13" t="n">
        <v>75.59999999999999</v>
      </c>
      <c r="K16" s="13" t="n">
        <v>91.09999999999999</v>
      </c>
      <c r="L16" s="14" t="n">
        <v>0.082638</v>
      </c>
      <c r="M16" s="15" t="n">
        <v>0.3333</v>
      </c>
      <c r="N16" s="10" t="inlineStr">
        <is>
          <t>2/6</t>
        </is>
      </c>
      <c r="O16" s="10" t="inlineStr">
        <is>
          <t>model_comparison_results_20260820_184928.json</t>
        </is>
      </c>
      <c r="P16" s="10" t="inlineStr"/>
    </row>
    <row r="17">
      <c r="A17" s="10" t="inlineStr">
        <is>
          <t>openai/gpt-5.6-luna</t>
        </is>
      </c>
      <c r="B17" s="10" t="inlineStr">
        <is>
          <t>Frontier</t>
        </is>
      </c>
      <c r="C17" s="11" t="n">
        <v>0.6491</v>
      </c>
      <c r="D17" s="11" t="n">
        <v>0.6964</v>
      </c>
      <c r="E17" s="11" t="n">
        <v>0.9667</v>
      </c>
      <c r="F17" s="12" t="n">
        <v>5</v>
      </c>
      <c r="G17" s="12" t="n">
        <v>5</v>
      </c>
      <c r="H17" s="12" t="n">
        <v>4.6</v>
      </c>
      <c r="I17" s="10" t="n">
        <v>5</v>
      </c>
      <c r="J17" s="13" t="n">
        <v>41</v>
      </c>
      <c r="K17" s="13" t="n">
        <v>51.7</v>
      </c>
      <c r="L17" s="14" t="n">
        <v>0.007098</v>
      </c>
      <c r="M17" s="15" t="n">
        <v>0</v>
      </c>
      <c r="N17" s="10" t="inlineStr">
        <is>
          <t>0/6</t>
        </is>
      </c>
      <c r="O17" s="10" t="inlineStr">
        <is>
          <t>model_comparison_results_20260820_184928.json</t>
        </is>
      </c>
      <c r="P17" s="10" t="inlineStr"/>
    </row>
    <row r="18">
      <c r="A18" s="16" t="inlineStr">
        <is>
          <t>openai/gpt-5-nano</t>
        </is>
      </c>
      <c r="B18" s="16" t="inlineStr">
        <is>
          <t>Low-cost</t>
        </is>
      </c>
      <c r="C18" s="17" t="n"/>
      <c r="D18" s="17" t="n"/>
      <c r="E18" s="17" t="n"/>
      <c r="F18" s="18" t="n"/>
      <c r="G18" s="18" t="n"/>
      <c r="H18" s="18" t="n"/>
      <c r="I18" s="16" t="n"/>
      <c r="J18" s="19" t="n"/>
      <c r="K18" s="19" t="n"/>
      <c r="L18" s="20" t="n"/>
      <c r="M18" s="21" t="n">
        <v>1</v>
      </c>
      <c r="N18" s="16" t="inlineStr">
        <is>
          <t>6/6</t>
        </is>
      </c>
      <c r="O18" s="16" t="inlineStr">
        <is>
          <t>model_comparison_results_20260820_043357.json</t>
        </is>
      </c>
      <c r="P18" s="16" t="inlineStr">
        <is>
          <t>All 6 calls failed: content=None. Reasoning model burns its completion-token budget on hidden reasoning_tokens before emitting visible JSON against the long production prompt. Not fixed -- needs a reasoning-effort/budget control, not a bigger max_tokens cap.</t>
        </is>
      </c>
    </row>
    <row r="19">
      <c r="A19" s="16" t="inlineStr">
        <is>
          <t>anthropic/claude-sonnet-5</t>
        </is>
      </c>
      <c r="B19" s="16" t="inlineStr">
        <is>
          <t>Frontier</t>
        </is>
      </c>
      <c r="C19" s="17" t="n"/>
      <c r="D19" s="17" t="n"/>
      <c r="E19" s="17" t="n"/>
      <c r="F19" s="18" t="n"/>
      <c r="G19" s="18" t="n"/>
      <c r="H19" s="18" t="n"/>
      <c r="I19" s="16" t="n"/>
      <c r="J19" s="19" t="n"/>
      <c r="K19" s="19" t="n"/>
      <c r="L19" s="20" t="n"/>
      <c r="M19" s="21" t="n">
        <v>1</v>
      </c>
      <c r="N19" s="16" t="inlineStr">
        <is>
          <t>6/6</t>
        </is>
      </c>
      <c r="O19" s="16" t="inlineStr">
        <is>
          <t>model_comparison_results_20260820_184928.json</t>
        </is>
      </c>
      <c r="P19" s="16" t="inlineStr">
        <is>
          <t>All 6 calls failed: JSONDecodeError (unterminated string). Confirmed live via a direct diagnostic call: finish_reason=length at exactly the shared 8192-token cap -- output produced is genuinely longer than the cap allows for this prompt. Not fixed -- needs a per-model max_tokens override, not a global bump (would raise cost for every cheaper model sharing the same call path).</t>
        </is>
      </c>
    </row>
  </sheetData>
  <mergeCells count="2">
    <mergeCell ref="A1:P1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8" customWidth="1" min="5" max="5"/>
  </cols>
  <sheetData>
    <row r="1">
      <c r="A1" s="1" t="inlineStr">
        <is>
          <t>Projected Monthly Cost by Volume</t>
        </is>
      </c>
    </row>
    <row r="2">
      <c r="A2" s="2" t="inlineStr">
        <is>
          <t>Cost/Request pulled live from the 'Results' tab via formula — edit Results, this tab recalculates.</t>
        </is>
      </c>
    </row>
    <row r="4">
      <c r="A4" s="3" t="inlineStr">
        <is>
          <t>Model</t>
        </is>
      </c>
      <c r="B4" s="3" t="inlineStr">
        <is>
          <t>Cost/Request (USD)</t>
        </is>
      </c>
      <c r="C4" s="3" t="inlineStr">
        <is>
          <t>10,000 req/mo</t>
        </is>
      </c>
      <c r="D4" s="3" t="inlineStr">
        <is>
          <t>100,000 req/mo</t>
        </is>
      </c>
      <c r="E4" s="3" t="inlineStr">
        <is>
          <t>1,000,000 req/mo</t>
        </is>
      </c>
    </row>
    <row r="5">
      <c r="A5" s="4">
        <f>Results!A5</f>
        <v/>
      </c>
      <c r="B5" s="8">
        <f>Results!L5</f>
        <v/>
      </c>
      <c r="C5" s="22">
        <f>IF(Results!L5="","",Results!L5*10000)</f>
        <v/>
      </c>
      <c r="D5" s="22">
        <f>IF(Results!L5="","",Results!L5*100000)</f>
        <v/>
      </c>
      <c r="E5" s="22">
        <f>IF(Results!L5="","",Results!L5*1000000)</f>
        <v/>
      </c>
    </row>
    <row r="6">
      <c r="A6" s="4">
        <f>Results!A6</f>
        <v/>
      </c>
      <c r="B6" s="8">
        <f>Results!L6</f>
        <v/>
      </c>
      <c r="C6" s="22">
        <f>IF(Results!L6="","",Results!L6*10000)</f>
        <v/>
      </c>
      <c r="D6" s="22">
        <f>IF(Results!L6="","",Results!L6*100000)</f>
        <v/>
      </c>
      <c r="E6" s="22">
        <f>IF(Results!L6="","",Results!L6*1000000)</f>
        <v/>
      </c>
    </row>
    <row r="7">
      <c r="A7" s="4">
        <f>Results!A7</f>
        <v/>
      </c>
      <c r="B7" s="8">
        <f>Results!L7</f>
        <v/>
      </c>
      <c r="C7" s="22">
        <f>IF(Results!L7="","",Results!L7*10000)</f>
        <v/>
      </c>
      <c r="D7" s="22">
        <f>IF(Results!L7="","",Results!L7*100000)</f>
        <v/>
      </c>
      <c r="E7" s="22">
        <f>IF(Results!L7="","",Results!L7*1000000)</f>
        <v/>
      </c>
    </row>
    <row r="8">
      <c r="A8" s="4">
        <f>Results!A8</f>
        <v/>
      </c>
      <c r="B8" s="8">
        <f>Results!L8</f>
        <v/>
      </c>
      <c r="C8" s="22">
        <f>IF(Results!L8="","",Results!L8*10000)</f>
        <v/>
      </c>
      <c r="D8" s="22">
        <f>IF(Results!L8="","",Results!L8*100000)</f>
        <v/>
      </c>
      <c r="E8" s="22">
        <f>IF(Results!L8="","",Results!L8*1000000)</f>
        <v/>
      </c>
    </row>
    <row r="9">
      <c r="A9" s="4">
        <f>Results!A9</f>
        <v/>
      </c>
      <c r="B9" s="8">
        <f>Results!L9</f>
        <v/>
      </c>
      <c r="C9" s="22">
        <f>IF(Results!L9="","",Results!L9*10000)</f>
        <v/>
      </c>
      <c r="D9" s="22">
        <f>IF(Results!L9="","",Results!L9*100000)</f>
        <v/>
      </c>
      <c r="E9" s="22">
        <f>IF(Results!L9="","",Results!L9*1000000)</f>
        <v/>
      </c>
    </row>
    <row r="10">
      <c r="A10" s="4">
        <f>Results!A10</f>
        <v/>
      </c>
      <c r="B10" s="8">
        <f>Results!L10</f>
        <v/>
      </c>
      <c r="C10" s="22">
        <f>IF(Results!L10="","",Results!L10*10000)</f>
        <v/>
      </c>
      <c r="D10" s="22">
        <f>IF(Results!L10="","",Results!L10*100000)</f>
        <v/>
      </c>
      <c r="E10" s="22">
        <f>IF(Results!L10="","",Results!L10*1000000)</f>
        <v/>
      </c>
    </row>
    <row r="11">
      <c r="A11" s="4">
        <f>Results!A11</f>
        <v/>
      </c>
      <c r="B11" s="8">
        <f>Results!L11</f>
        <v/>
      </c>
      <c r="C11" s="22">
        <f>IF(Results!L11="","",Results!L11*10000)</f>
        <v/>
      </c>
      <c r="D11" s="22">
        <f>IF(Results!L11="","",Results!L11*100000)</f>
        <v/>
      </c>
      <c r="E11" s="22">
        <f>IF(Results!L11="","",Results!L11*1000000)</f>
        <v/>
      </c>
    </row>
    <row r="12">
      <c r="A12" s="4">
        <f>Results!A12</f>
        <v/>
      </c>
      <c r="B12" s="8">
        <f>Results!L12</f>
        <v/>
      </c>
      <c r="C12" s="22">
        <f>IF(Results!L12="","",Results!L12*10000)</f>
        <v/>
      </c>
      <c r="D12" s="22">
        <f>IF(Results!L12="","",Results!L12*100000)</f>
        <v/>
      </c>
      <c r="E12" s="22">
        <f>IF(Results!L12="","",Results!L12*1000000)</f>
        <v/>
      </c>
    </row>
    <row r="13">
      <c r="A13" s="4">
        <f>Results!A13</f>
        <v/>
      </c>
      <c r="B13" s="8">
        <f>Results!L13</f>
        <v/>
      </c>
      <c r="C13" s="22">
        <f>IF(Results!L13="","",Results!L13*10000)</f>
        <v/>
      </c>
      <c r="D13" s="22">
        <f>IF(Results!L13="","",Results!L13*100000)</f>
        <v/>
      </c>
      <c r="E13" s="22">
        <f>IF(Results!L13="","",Results!L13*1000000)</f>
        <v/>
      </c>
    </row>
    <row r="14">
      <c r="A14" s="4">
        <f>Results!A14</f>
        <v/>
      </c>
      <c r="B14" s="8">
        <f>Results!L14</f>
        <v/>
      </c>
      <c r="C14" s="22">
        <f>IF(Results!L14="","",Results!L14*10000)</f>
        <v/>
      </c>
      <c r="D14" s="22">
        <f>IF(Results!L14="","",Results!L14*100000)</f>
        <v/>
      </c>
      <c r="E14" s="22">
        <f>IF(Results!L14="","",Results!L14*1000000)</f>
        <v/>
      </c>
    </row>
    <row r="15">
      <c r="A15" s="4">
        <f>Results!A15</f>
        <v/>
      </c>
      <c r="B15" s="8">
        <f>Results!L15</f>
        <v/>
      </c>
      <c r="C15" s="22">
        <f>IF(Results!L15="","",Results!L15*10000)</f>
        <v/>
      </c>
      <c r="D15" s="22">
        <f>IF(Results!L15="","",Results!L15*100000)</f>
        <v/>
      </c>
      <c r="E15" s="22">
        <f>IF(Results!L15="","",Results!L15*1000000)</f>
        <v/>
      </c>
    </row>
    <row r="16">
      <c r="A16" s="4">
        <f>Results!A16</f>
        <v/>
      </c>
      <c r="B16" s="8">
        <f>Results!L16</f>
        <v/>
      </c>
      <c r="C16" s="22">
        <f>IF(Results!L16="","",Results!L16*10000)</f>
        <v/>
      </c>
      <c r="D16" s="22">
        <f>IF(Results!L16="","",Results!L16*100000)</f>
        <v/>
      </c>
      <c r="E16" s="22">
        <f>IF(Results!L16="","",Results!L16*1000000)</f>
        <v/>
      </c>
    </row>
    <row r="17">
      <c r="A17" s="4">
        <f>Results!A17</f>
        <v/>
      </c>
      <c r="B17" s="8">
        <f>Results!L17</f>
        <v/>
      </c>
      <c r="C17" s="22">
        <f>IF(Results!L17="","",Results!L17*10000)</f>
        <v/>
      </c>
      <c r="D17" s="22">
        <f>IF(Results!L17="","",Results!L17*100000)</f>
        <v/>
      </c>
      <c r="E17" s="22">
        <f>IF(Results!L17="","",Results!L17*1000000)</f>
        <v/>
      </c>
    </row>
    <row r="18">
      <c r="A18" s="4">
        <f>Results!A18</f>
        <v/>
      </c>
      <c r="B18" s="8">
        <f>Results!L18</f>
        <v/>
      </c>
      <c r="C18" s="22">
        <f>IF(Results!L18="","",Results!L18*10000)</f>
        <v/>
      </c>
      <c r="D18" s="22">
        <f>IF(Results!L18="","",Results!L18*100000)</f>
        <v/>
      </c>
      <c r="E18" s="22">
        <f>IF(Results!L18="","",Results!L18*1000000)</f>
        <v/>
      </c>
    </row>
    <row r="19">
      <c r="A19" s="4">
        <f>Results!A19</f>
        <v/>
      </c>
      <c r="B19" s="8">
        <f>Results!L19</f>
        <v/>
      </c>
      <c r="C19" s="22">
        <f>IF(Results!L19="","",Results!L19*10000)</f>
        <v/>
      </c>
      <c r="D19" s="22">
        <f>IF(Results!L19="","",Results!L19*100000)</f>
        <v/>
      </c>
      <c r="E19" s="22">
        <f>IF(Results!L19="","",Results!L19*1000000)</f>
        <v/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Methodology &amp; Notes</t>
        </is>
      </c>
    </row>
    <row r="3" ht="15" customHeight="1">
      <c r="A3" s="23" t="inlineStr"/>
    </row>
    <row r="4" ht="15" customHeight="1">
      <c r="A4" s="24" t="inlineStr">
        <is>
          <t>SOURCE</t>
        </is>
      </c>
    </row>
    <row r="5" ht="30" customHeight="1">
      <c r="A5" s="23" t="inlineStr">
        <is>
          <t>Generated from apps/api/eval/run_model_comparison.py live runs, 2026-08-18 to 2026-08-20. Raw per-run JSON lives in apps/api/eval/out/ (gitignored, laptop-local) — this workbook is the committed record. Full narrative writeup: docs/eval-set.md §8D and docs/llm-routing-openrouter-analysis.md §7.</t>
        </is>
      </c>
    </row>
    <row r="6" ht="15" customHeight="1">
      <c r="A6" s="23" t="inlineStr"/>
    </row>
    <row r="7" ht="30" customHeight="1">
      <c r="A7" s="23" t="inlineStr">
        <is>
          <t>WHAT EACH METRIC MEASURES (apps/api/eval/model_comparison_scoring.py)</t>
        </is>
      </c>
    </row>
    <row r="8" ht="30" customHeight="1">
      <c r="A8" s="23" t="inlineStr">
        <is>
          <t>Accuracy (0-1, deterministic, no LLM): weighted mean of 4 checks — schema_valid (all required fields present, 25%), day_count_match (1 - |actual-expected|/expected, 25%), theme_coverage (fraction of required theme keywords present, 25%), budget_adherence (1.0 within budget, decaying linearly to 0.0 at 2x budget, 25%).</t>
        </is>
      </c>
    </row>
    <row r="9" ht="30" customHeight="1">
      <c r="A9" s="23" t="inlineStr">
        <is>
          <t>Hallucination Rate (0-1, proxy — NOT ground truth): fraction of named places in the itinerary that match neither the case's curated known-POI whitelist nor the retrieved RAG context text. This is an UPPER BOUND — a real, small venue absent from both sources is flagged too. Valid only for relative ranking across models run on identical prompts, not as an absolute hallucination count.</t>
        </is>
      </c>
    </row>
    <row r="10" ht="30" customHeight="1">
      <c r="A10" s="23" t="inlineStr">
        <is>
          <t>Judge Quality (0-1, LLM-scored): a fixed judge model (gemini-2.5-flash, deliberately never the model under test, to avoid self-grading bias) scores tone / personalization / coherence 1-5 each, then averages and normalizes to 0-1. Judge sub-scores in this sheet are the native 1-5 scale.</t>
        </is>
      </c>
    </row>
    <row r="11" ht="30" customHeight="1">
      <c r="A11" s="23" t="inlineStr">
        <is>
          <t>p50 / p95 Latency: wall-clock per call in seconds, aggregated across the 6 dataset cases (1 run/case — single-sample percentiles, not a large-N distribution).</t>
        </is>
      </c>
    </row>
    <row r="12" ht="30" customHeight="1">
      <c r="A12" s="23" t="inlineStr">
        <is>
          <t>Cost/Request: provider usage tokens x core/llm_client.py's approximate public pricing table (directional signal, not a billing reconciliation).</t>
        </is>
      </c>
    </row>
    <row r="13" ht="15" customHeight="1">
      <c r="A13" s="23" t="inlineStr"/>
    </row>
    <row r="14" ht="15" customHeight="1">
      <c r="A14" s="24" t="inlineStr">
        <is>
          <t>KNOWN LIMITATIONS IN THIS DATA</t>
        </is>
      </c>
    </row>
    <row r="15" ht="30" customHeight="1">
      <c r="A15" s="23" t="inlineStr">
        <is>
          <t>- Single run per case (--runs 1), not the --runs 3 the harness supports — latency percentiles and judge sub-scores here are single-sample, not statistically robust.</t>
        </is>
      </c>
    </row>
    <row r="16" ht="30" customHeight="1">
      <c r="A16" s="23" t="inlineStr">
        <is>
          <t>- gpt-5-mini's Judge Quality of 1.0 is from only 2 of 6 judged calls (4 errored) — not a reliable sample; do not treat it as a real ranking signal.</t>
        </is>
      </c>
    </row>
    <row r="17" ht="30" customHeight="1">
      <c r="A17" s="23" t="inlineStr">
        <is>
          <t>- gpt-5.6-terra's Judge Quality of 1.0 is from only 3 of 6 judged calls — same caveat.</t>
        </is>
      </c>
    </row>
    <row r="18" ht="30" customHeight="1">
      <c r="A18" s="23" t="inlineStr">
        <is>
          <t>- gpt-5-nano and claude-sonnet-5 failed all 6 calls each — see their Notes cells on the Results tab for the diagnosed cause. Excluded from ranking, not comparable.</t>
        </is>
      </c>
    </row>
    <row r="19" ht="15" customHeight="1">
      <c r="A19" s="23" t="inlineStr"/>
    </row>
    <row r="20" ht="30" customHeight="1">
      <c r="A20" s="23" t="inlineStr">
        <is>
          <t>DATA-QUALITY INCIDENT (excluded from this workbook)</t>
        </is>
      </c>
    </row>
    <row r="21" ht="30" customHeight="1">
      <c r="A21" s="23" t="inlineStr">
        <is>
          <t>The first attempt at the full 12-model sweep (2026-08-19) was invalidated when the OpenRouter account's credit balance hit $0 mid-run: 6 of 12 models 402'd every call, and the models that did complete showed latencies inflated 3-6x from retries against a shrinking balance, not real model speed. That run's numbers are NOT included here — this workbook reflects only the clean re-run after the account was topped up ($10, 2026-08-20).</t>
        </is>
      </c>
    </row>
    <row r="22" ht="15" customHeight="1">
      <c r="A22" s="23" t="inlineStr"/>
    </row>
    <row r="23" ht="30" customHeight="1">
      <c r="A23" s="23" t="inlineStr">
        <is>
          <t>BUGS FOUND AND FIXED DURING THIS EVAL (see git log on feat/frontend-scaffold for commits)</t>
        </is>
      </c>
    </row>
    <row r="24" ht="30" customHeight="1">
      <c r="A24" s="23" t="inlineStr">
        <is>
          <t>- _call_openrouter() had no max_tokens cap — defaulted to the upstream model's own max (65535), 402'd against a low-credit account. Capped at 8192.</t>
        </is>
      </c>
    </row>
    <row r="25" ht="30" customHeight="1">
      <c r="A25" s="23" t="inlineStr">
        <is>
          <t>- Two originally-registered model ids (gemini-2.0-flash-001, claude-3.5-haiku) 404 — OpenRouter retired those generations. Replaced with current equivalents.</t>
        </is>
      </c>
    </row>
    <row r="26" ht="30" customHeight="1">
      <c r="A26" s="23" t="inlineStr">
        <is>
          <t>- kimi-k2 400'd on response_format (OpenRouter's Novita route doesn't support structured outputs for it) — added a prompt-suffix JSON fallback, same pattern already used for the direct Anthropic/Moonshot SDK callers.</t>
        </is>
      </c>
    </row>
    <row r="27" ht="15" customHeight="1">
      <c r="A27" s="23" t="inlineStr"/>
    </row>
    <row r="28" ht="15" customHeight="1">
      <c r="A28" s="24" t="inlineStr">
        <is>
          <t>BOTTOM LINE</t>
        </is>
      </c>
    </row>
    <row r="29" ht="30" customHeight="1">
      <c r="A29" s="23" t="inlineStr">
        <is>
          <t>gpt-4o-mini is the strongest reliable pick: highest deterministic accuracy (0.7478), zero errors, cheapest of the reliable models. claude-haiku-4.5 / kimi-k2 / gemini-2.5-flash-lite beat it on judge-rated writing quality at a real cost/latency premium. llama-3.1-8b-instruct is far cheapest and fastest but weakest on judge quality — a candidate for low-stakes task routing, not itinerary generation itself. The 3 frontier models tested (2-36x gpt-4o-mini's cost) did NOT beat it on accuracy, though judge quality was genuinely higher where they completed successfully.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2026-08-20T18:59:50Z</dcterms:created>
  <dcterms:modified xmlns:dcterms="http://purl.org/dc/terms/" xmlns:xsi="http://www.w3.org/2001/XMLSchema-instance" xsi:type="dcterms:W3CDTF">2026-08-20T18:59:51Z</dcterms:modified>
</cp:coreProperties>
</file>